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BB5B26D-852C-4D05-97B4-ABFC88C9E832}" xr6:coauthVersionLast="47" xr6:coauthVersionMax="47" xr10:uidLastSave="{00000000-0000-0000-0000-000000000000}"/>
  <bookViews>
    <workbookView xWindow="-108" yWindow="-108" windowWidth="23256" windowHeight="12456" xr2:uid="{C5E73DD6-86B9-4BAA-9F5C-7E18F13E92A4}"/>
  </bookViews>
  <sheets>
    <sheet name="Salary Sheet " sheetId="1" r:id="rId1"/>
    <sheet name="Sheet1" sheetId="3" r:id="rId2"/>
  </sheets>
  <definedNames>
    <definedName name="_xlnm._FilterDatabase" localSheetId="0" hidden="1">'Salary Sheet '!$A$2:$O$2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3" i="1"/>
  <c r="J4" i="1"/>
  <c r="J5" i="1"/>
  <c r="J6" i="1"/>
  <c r="J7" i="1"/>
  <c r="J8" i="1"/>
  <c r="J9" i="1"/>
  <c r="J10" i="1"/>
  <c r="J11" i="1"/>
  <c r="J12" i="1"/>
  <c r="J3" i="1"/>
  <c r="H4" i="1"/>
  <c r="H5" i="1"/>
  <c r="H6" i="1"/>
  <c r="H7" i="1"/>
  <c r="H8" i="1"/>
  <c r="H9" i="1"/>
  <c r="H10" i="1"/>
  <c r="H11" i="1"/>
  <c r="H12" i="1"/>
  <c r="H3" i="1"/>
  <c r="G3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F3" i="1"/>
  <c r="M11" i="1" l="1"/>
  <c r="N11" i="1" s="1"/>
  <c r="M9" i="1"/>
  <c r="N9" i="1" s="1"/>
  <c r="M8" i="1"/>
  <c r="M4" i="1"/>
  <c r="M5" i="1"/>
  <c r="M7" i="1"/>
  <c r="M6" i="1"/>
  <c r="M3" i="1"/>
  <c r="M12" i="1"/>
  <c r="M10" i="1"/>
  <c r="O11" i="1" l="1"/>
  <c r="O9" i="1"/>
  <c r="N6" i="1"/>
  <c r="O6" i="1" s="1"/>
  <c r="N7" i="1"/>
  <c r="O7" i="1" s="1"/>
  <c r="N5" i="1"/>
  <c r="O5" i="1" s="1"/>
  <c r="N4" i="1"/>
  <c r="O4" i="1"/>
  <c r="N10" i="1"/>
  <c r="O10" i="1" s="1"/>
  <c r="N12" i="1"/>
  <c r="O12" i="1" s="1"/>
  <c r="N3" i="1"/>
  <c r="O3" i="1" s="1"/>
  <c r="N8" i="1"/>
  <c r="O8" i="1" s="1"/>
</calcChain>
</file>

<file path=xl/sharedStrings.xml><?xml version="1.0" encoding="utf-8"?>
<sst xmlns="http://schemas.openxmlformats.org/spreadsheetml/2006/main" count="46" uniqueCount="41">
  <si>
    <t xml:space="preserve">Emp. ID </t>
  </si>
  <si>
    <t>Emp. Name</t>
  </si>
  <si>
    <t>Desiganti</t>
  </si>
  <si>
    <t>Basic Salary</t>
  </si>
  <si>
    <t>T. ATT</t>
  </si>
  <si>
    <t>Salary</t>
  </si>
  <si>
    <t>T.A</t>
  </si>
  <si>
    <t>OT.in.Hrs</t>
  </si>
  <si>
    <t>OT.Salary</t>
  </si>
  <si>
    <t>Gross Salary</t>
  </si>
  <si>
    <t>P.F</t>
  </si>
  <si>
    <t>Net Salary</t>
  </si>
  <si>
    <t>EMPOO2</t>
  </si>
  <si>
    <t>EMPOO3</t>
  </si>
  <si>
    <t>EMPOO4</t>
  </si>
  <si>
    <t>EMPOO5</t>
  </si>
  <si>
    <t>EMPOO6</t>
  </si>
  <si>
    <t>EMPOO7</t>
  </si>
  <si>
    <t>EMPOO8</t>
  </si>
  <si>
    <t>EMPOO9</t>
  </si>
  <si>
    <t>EMPOO10</t>
  </si>
  <si>
    <t>EMPOO1</t>
  </si>
  <si>
    <t>Rahul yadav</t>
  </si>
  <si>
    <t>Sanjay kumar</t>
  </si>
  <si>
    <t>Vejay kumar</t>
  </si>
  <si>
    <t xml:space="preserve">Radeka </t>
  </si>
  <si>
    <t>Rajpal yadav</t>
  </si>
  <si>
    <t>vinod kumar</t>
  </si>
  <si>
    <t>Gita kumari</t>
  </si>
  <si>
    <t>Obeas khan</t>
  </si>
  <si>
    <t>Huma Bi</t>
  </si>
  <si>
    <t>Gulfera Bagum</t>
  </si>
  <si>
    <t>Worker</t>
  </si>
  <si>
    <t>Manger</t>
  </si>
  <si>
    <t>Peon</t>
  </si>
  <si>
    <t>Staff</t>
  </si>
  <si>
    <t>Helper</t>
  </si>
  <si>
    <t>H.R.A 10%</t>
  </si>
  <si>
    <t>D.A 7.5%</t>
  </si>
  <si>
    <t>M.A 5%</t>
  </si>
  <si>
    <t>Huma Bi Salary  Management Shseet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</si>
</sst>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0.59999389629810485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CCE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4A71-164B-4407-83E2-0FF05BA561BD}">
  <sheetPr>
    <tabColor rgb="FFFF0000"/>
  </sheetPr>
  <dimension ref="A1:O21"/>
  <sheetViews>
    <sheetView tabSelected="1" zoomScaleNormal="100" workbookViewId="0">
      <selection activeCell="D16" sqref="D16"/>
    </sheetView>
  </sheetViews>
  <sheetFormatPr defaultRowHeight="14.4" x14ac:dyDescent="0.3"/>
  <cols>
    <col min="1" max="1" width="14.21875" bestFit="1" customWidth="1"/>
    <col min="2" max="2" width="17.77734375" bestFit="1" customWidth="1"/>
    <col min="3" max="3" width="15.44140625" bestFit="1" customWidth="1"/>
    <col min="4" max="4" width="18" bestFit="1" customWidth="1"/>
    <col min="5" max="5" width="11.88671875" bestFit="1" customWidth="1"/>
    <col min="7" max="7" width="11.6640625" bestFit="1" customWidth="1"/>
    <col min="8" max="8" width="10.33203125" bestFit="1" customWidth="1"/>
    <col min="10" max="10" width="10.109375" customWidth="1"/>
    <col min="11" max="11" width="9.6640625" customWidth="1"/>
    <col min="12" max="12" width="14.6640625" customWidth="1"/>
    <col min="13" max="13" width="16.109375" customWidth="1"/>
    <col min="15" max="15" width="16.33203125" bestFit="1" customWidth="1"/>
  </cols>
  <sheetData>
    <row r="1" spans="1:15" ht="46.2" x14ac:dyDescent="0.85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8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37</v>
      </c>
      <c r="H2" s="5" t="s">
        <v>38</v>
      </c>
      <c r="I2" s="5" t="s">
        <v>6</v>
      </c>
      <c r="J2" s="5" t="s">
        <v>39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</row>
    <row r="3" spans="1:15" ht="15.6" x14ac:dyDescent="0.3">
      <c r="A3" s="3" t="s">
        <v>21</v>
      </c>
      <c r="B3" s="3" t="s">
        <v>22</v>
      </c>
      <c r="C3" s="3" t="s">
        <v>33</v>
      </c>
      <c r="D3" s="3">
        <v>30000</v>
      </c>
      <c r="E3" s="3">
        <v>30</v>
      </c>
      <c r="F3" s="4">
        <f>D3/30*E3</f>
        <v>30000</v>
      </c>
      <c r="G3" s="3">
        <f>D3*10%</f>
        <v>3000</v>
      </c>
      <c r="H3" s="4">
        <f>D3*7.5%</f>
        <v>2250</v>
      </c>
      <c r="I3" s="3">
        <v>0</v>
      </c>
      <c r="J3" s="3">
        <f>D3*5%</f>
        <v>1500</v>
      </c>
      <c r="K3" s="3">
        <v>45</v>
      </c>
      <c r="L3" s="4">
        <f>D3/30/8*K3</f>
        <v>5625</v>
      </c>
      <c r="M3" s="4">
        <f>F3+G3+H3+I3+J3+L3</f>
        <v>42375</v>
      </c>
      <c r="N3" s="4">
        <f>M3*15%</f>
        <v>6356.25</v>
      </c>
      <c r="O3" s="4">
        <f>M3-N3</f>
        <v>36018.75</v>
      </c>
    </row>
    <row r="4" spans="1:15" ht="15.6" x14ac:dyDescent="0.3">
      <c r="A4" s="3" t="s">
        <v>12</v>
      </c>
      <c r="B4" s="3" t="s">
        <v>23</v>
      </c>
      <c r="C4" s="3" t="s">
        <v>32</v>
      </c>
      <c r="D4" s="3">
        <v>1500</v>
      </c>
      <c r="E4" s="3">
        <v>29</v>
      </c>
      <c r="F4" s="4">
        <f t="shared" ref="F4:F12" si="0">D4/30*E4</f>
        <v>1450</v>
      </c>
      <c r="G4" s="3">
        <f t="shared" ref="G4:G12" si="1">D4*10%</f>
        <v>150</v>
      </c>
      <c r="H4" s="4">
        <f t="shared" ref="H4:H12" si="2">D4*7.5%</f>
        <v>112.5</v>
      </c>
      <c r="I4" s="3">
        <v>1000</v>
      </c>
      <c r="J4" s="3">
        <f t="shared" ref="J4:J12" si="3">D4*5%</f>
        <v>75</v>
      </c>
      <c r="K4" s="3">
        <v>37</v>
      </c>
      <c r="L4" s="4">
        <f t="shared" ref="L4:L12" si="4">D4/30/8*K4</f>
        <v>231.25</v>
      </c>
      <c r="M4" s="4">
        <f t="shared" ref="M4:M12" si="5">F4+G4+H4+I4+J4+L4</f>
        <v>3018.75</v>
      </c>
      <c r="N4" s="4">
        <f t="shared" ref="N4:N12" si="6">M4*15%</f>
        <v>452.8125</v>
      </c>
      <c r="O4" s="4">
        <f t="shared" ref="O4:O12" si="7">M4-N4</f>
        <v>2565.9375</v>
      </c>
    </row>
    <row r="5" spans="1:15" ht="15.6" x14ac:dyDescent="0.3">
      <c r="A5" s="3" t="s">
        <v>13</v>
      </c>
      <c r="B5" s="3" t="s">
        <v>24</v>
      </c>
      <c r="C5" s="3" t="s">
        <v>32</v>
      </c>
      <c r="D5" s="3">
        <v>1500</v>
      </c>
      <c r="E5" s="3">
        <v>28</v>
      </c>
      <c r="F5" s="4">
        <f t="shared" si="0"/>
        <v>1400</v>
      </c>
      <c r="G5" s="3">
        <f t="shared" si="1"/>
        <v>150</v>
      </c>
      <c r="H5" s="4">
        <f t="shared" si="2"/>
        <v>112.5</v>
      </c>
      <c r="I5" s="3">
        <v>1000</v>
      </c>
      <c r="J5" s="3">
        <f t="shared" si="3"/>
        <v>75</v>
      </c>
      <c r="K5" s="3">
        <v>30</v>
      </c>
      <c r="L5" s="4">
        <f t="shared" si="4"/>
        <v>187.5</v>
      </c>
      <c r="M5" s="4">
        <f t="shared" si="5"/>
        <v>2925</v>
      </c>
      <c r="N5" s="4">
        <f t="shared" si="6"/>
        <v>438.75</v>
      </c>
      <c r="O5" s="4">
        <f t="shared" si="7"/>
        <v>2486.25</v>
      </c>
    </row>
    <row r="6" spans="1:15" ht="15.6" x14ac:dyDescent="0.3">
      <c r="A6" s="3" t="s">
        <v>14</v>
      </c>
      <c r="B6" s="3" t="s">
        <v>25</v>
      </c>
      <c r="C6" s="3" t="s">
        <v>34</v>
      </c>
      <c r="D6" s="3">
        <v>10000</v>
      </c>
      <c r="E6" s="3">
        <v>27</v>
      </c>
      <c r="F6" s="4">
        <f t="shared" si="0"/>
        <v>9000</v>
      </c>
      <c r="G6" s="3">
        <f t="shared" si="1"/>
        <v>1000</v>
      </c>
      <c r="H6" s="4">
        <f t="shared" si="2"/>
        <v>750</v>
      </c>
      <c r="I6" s="3">
        <v>0</v>
      </c>
      <c r="J6" s="3">
        <f t="shared" si="3"/>
        <v>500</v>
      </c>
      <c r="K6" s="3">
        <v>39</v>
      </c>
      <c r="L6" s="4">
        <f t="shared" si="4"/>
        <v>1625</v>
      </c>
      <c r="M6" s="4">
        <f t="shared" si="5"/>
        <v>12875</v>
      </c>
      <c r="N6" s="4">
        <f t="shared" si="6"/>
        <v>1931.25</v>
      </c>
      <c r="O6" s="4">
        <f t="shared" si="7"/>
        <v>10943.75</v>
      </c>
    </row>
    <row r="7" spans="1:15" ht="15.6" x14ac:dyDescent="0.3">
      <c r="A7" s="3" t="s">
        <v>15</v>
      </c>
      <c r="B7" s="3" t="s">
        <v>26</v>
      </c>
      <c r="C7" s="3" t="s">
        <v>35</v>
      </c>
      <c r="D7" s="3">
        <v>12000</v>
      </c>
      <c r="E7" s="3">
        <v>26</v>
      </c>
      <c r="F7" s="4">
        <f t="shared" si="0"/>
        <v>10400</v>
      </c>
      <c r="G7" s="3">
        <f t="shared" si="1"/>
        <v>1200</v>
      </c>
      <c r="H7" s="4">
        <f t="shared" si="2"/>
        <v>900</v>
      </c>
      <c r="I7" s="3">
        <v>1000</v>
      </c>
      <c r="J7" s="3">
        <f t="shared" si="3"/>
        <v>600</v>
      </c>
      <c r="K7" s="3">
        <v>34</v>
      </c>
      <c r="L7" s="4">
        <f t="shared" si="4"/>
        <v>1700</v>
      </c>
      <c r="M7" s="4">
        <f t="shared" si="5"/>
        <v>15800</v>
      </c>
      <c r="N7" s="4">
        <f t="shared" si="6"/>
        <v>2370</v>
      </c>
      <c r="O7" s="4">
        <f t="shared" si="7"/>
        <v>13430</v>
      </c>
    </row>
    <row r="8" spans="1:15" ht="15.6" x14ac:dyDescent="0.3">
      <c r="A8" s="3" t="s">
        <v>16</v>
      </c>
      <c r="B8" s="3" t="s">
        <v>27</v>
      </c>
      <c r="C8" s="3" t="s">
        <v>35</v>
      </c>
      <c r="D8" s="3">
        <v>13000</v>
      </c>
      <c r="E8" s="3">
        <v>25</v>
      </c>
      <c r="F8" s="4">
        <f t="shared" si="0"/>
        <v>10833.333333333332</v>
      </c>
      <c r="G8" s="3">
        <f t="shared" si="1"/>
        <v>1300</v>
      </c>
      <c r="H8" s="4">
        <f t="shared" si="2"/>
        <v>975</v>
      </c>
      <c r="I8" s="3">
        <v>1000</v>
      </c>
      <c r="J8" s="3">
        <f t="shared" si="3"/>
        <v>650</v>
      </c>
      <c r="K8" s="3">
        <v>35</v>
      </c>
      <c r="L8" s="4">
        <f t="shared" si="4"/>
        <v>1895.8333333333333</v>
      </c>
      <c r="M8" s="4">
        <f t="shared" si="5"/>
        <v>16654.166666666664</v>
      </c>
      <c r="N8" s="4">
        <f t="shared" si="6"/>
        <v>2498.1249999999995</v>
      </c>
      <c r="O8" s="4">
        <f t="shared" si="7"/>
        <v>14156.041666666664</v>
      </c>
    </row>
    <row r="9" spans="1:15" ht="15.6" x14ac:dyDescent="0.3">
      <c r="A9" s="3" t="s">
        <v>17</v>
      </c>
      <c r="B9" s="3" t="s">
        <v>28</v>
      </c>
      <c r="C9" s="3" t="s">
        <v>36</v>
      </c>
      <c r="D9" s="3">
        <v>14000</v>
      </c>
      <c r="E9" s="3">
        <v>24</v>
      </c>
      <c r="F9" s="4">
        <f t="shared" si="0"/>
        <v>11200</v>
      </c>
      <c r="G9" s="3">
        <f t="shared" si="1"/>
        <v>1400</v>
      </c>
      <c r="H9" s="4">
        <f t="shared" si="2"/>
        <v>1050</v>
      </c>
      <c r="I9" s="3">
        <v>1000</v>
      </c>
      <c r="J9" s="3">
        <f t="shared" si="3"/>
        <v>700</v>
      </c>
      <c r="K9" s="3">
        <v>45</v>
      </c>
      <c r="L9" s="4">
        <f t="shared" si="4"/>
        <v>2625</v>
      </c>
      <c r="M9" s="4">
        <f t="shared" si="5"/>
        <v>17975</v>
      </c>
      <c r="N9" s="4">
        <f t="shared" si="6"/>
        <v>2696.25</v>
      </c>
      <c r="O9" s="4">
        <f t="shared" si="7"/>
        <v>15278.75</v>
      </c>
    </row>
    <row r="10" spans="1:15" ht="15.6" x14ac:dyDescent="0.3">
      <c r="A10" s="3" t="s">
        <v>18</v>
      </c>
      <c r="B10" s="3" t="s">
        <v>29</v>
      </c>
      <c r="C10" s="3" t="s">
        <v>36</v>
      </c>
      <c r="D10" s="3">
        <v>15000</v>
      </c>
      <c r="E10" s="3">
        <v>23</v>
      </c>
      <c r="F10" s="4">
        <f t="shared" si="0"/>
        <v>11500</v>
      </c>
      <c r="G10" s="3">
        <f t="shared" si="1"/>
        <v>1500</v>
      </c>
      <c r="H10" s="4">
        <f t="shared" si="2"/>
        <v>1125</v>
      </c>
      <c r="I10" s="3">
        <v>1000</v>
      </c>
      <c r="J10" s="3">
        <f t="shared" si="3"/>
        <v>750</v>
      </c>
      <c r="K10" s="3">
        <v>60</v>
      </c>
      <c r="L10" s="4">
        <f t="shared" si="4"/>
        <v>3750</v>
      </c>
      <c r="M10" s="4">
        <f t="shared" si="5"/>
        <v>19625</v>
      </c>
      <c r="N10" s="4">
        <f t="shared" si="6"/>
        <v>2943.75</v>
      </c>
      <c r="O10" s="4">
        <f t="shared" si="7"/>
        <v>16681.25</v>
      </c>
    </row>
    <row r="11" spans="1:15" ht="15.6" x14ac:dyDescent="0.3">
      <c r="A11" s="3" t="s">
        <v>19</v>
      </c>
      <c r="B11" s="3" t="s">
        <v>30</v>
      </c>
      <c r="C11" s="3" t="s">
        <v>32</v>
      </c>
      <c r="D11" s="3">
        <v>14000</v>
      </c>
      <c r="E11" s="3">
        <v>29</v>
      </c>
      <c r="F11" s="4">
        <f t="shared" si="0"/>
        <v>13533.333333333334</v>
      </c>
      <c r="G11" s="3">
        <f t="shared" si="1"/>
        <v>1400</v>
      </c>
      <c r="H11" s="4">
        <f t="shared" si="2"/>
        <v>1050</v>
      </c>
      <c r="I11" s="3">
        <v>1000</v>
      </c>
      <c r="J11" s="3">
        <f t="shared" si="3"/>
        <v>700</v>
      </c>
      <c r="K11" s="3">
        <v>70</v>
      </c>
      <c r="L11" s="4">
        <f t="shared" si="4"/>
        <v>4083.3333333333335</v>
      </c>
      <c r="M11" s="4">
        <f t="shared" si="5"/>
        <v>21766.666666666668</v>
      </c>
      <c r="N11" s="4">
        <f t="shared" si="6"/>
        <v>3265</v>
      </c>
      <c r="O11" s="4">
        <f t="shared" si="7"/>
        <v>18501.666666666668</v>
      </c>
    </row>
    <row r="12" spans="1:15" ht="15.6" x14ac:dyDescent="0.3">
      <c r="A12" s="3" t="s">
        <v>20</v>
      </c>
      <c r="B12" s="3" t="s">
        <v>31</v>
      </c>
      <c r="C12" s="3" t="s">
        <v>32</v>
      </c>
      <c r="D12" s="3">
        <v>11000</v>
      </c>
      <c r="E12" s="3">
        <v>28</v>
      </c>
      <c r="F12" s="4">
        <f t="shared" si="0"/>
        <v>10266.666666666668</v>
      </c>
      <c r="G12" s="3">
        <f t="shared" si="1"/>
        <v>1100</v>
      </c>
      <c r="H12" s="4">
        <f t="shared" si="2"/>
        <v>825</v>
      </c>
      <c r="I12" s="3">
        <v>1000</v>
      </c>
      <c r="J12" s="3">
        <f t="shared" si="3"/>
        <v>550</v>
      </c>
      <c r="K12" s="3">
        <v>80</v>
      </c>
      <c r="L12" s="4">
        <f t="shared" si="4"/>
        <v>3666.666666666667</v>
      </c>
      <c r="M12" s="4">
        <f t="shared" si="5"/>
        <v>17408.333333333336</v>
      </c>
      <c r="N12" s="4">
        <f t="shared" si="6"/>
        <v>2611.2500000000005</v>
      </c>
      <c r="O12" s="4">
        <f t="shared" si="7"/>
        <v>14797.083333333336</v>
      </c>
    </row>
    <row r="17" spans="5:7" x14ac:dyDescent="0.3">
      <c r="E17" s="1"/>
    </row>
    <row r="21" spans="5:7" x14ac:dyDescent="0.3">
      <c r="G21" s="2"/>
    </row>
  </sheetData>
  <autoFilter ref="A2:O2" xr:uid="{978E4A71-164B-4407-83E2-0FF05BA561BD}"/>
  <mergeCells count="1">
    <mergeCell ref="A1:O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3BF6-6582-4879-9413-062AA527133A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Sheet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Bi</dc:creator>
  <cp:lastModifiedBy>Saniya Bi</cp:lastModifiedBy>
  <cp:lastPrinted>2025-10-26T19:19:37Z</cp:lastPrinted>
  <dcterms:created xsi:type="dcterms:W3CDTF">2025-10-08T18:28:22Z</dcterms:created>
  <dcterms:modified xsi:type="dcterms:W3CDTF">2025-10-31T19:43:15Z</dcterms:modified>
</cp:coreProperties>
</file>